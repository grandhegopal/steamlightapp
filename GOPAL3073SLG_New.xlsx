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1D9DF09-2486-4B2A-BCA8-25291F40E6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H28" i="1" s="1"/>
  <c r="J28" i="1" s="1"/>
  <c r="J12" i="1"/>
  <c r="G50" i="1"/>
  <c r="H50" i="1" s="1"/>
  <c r="J50" i="1" s="1"/>
  <c r="G49" i="1"/>
  <c r="H49" i="1" s="1"/>
  <c r="J49" i="1" s="1"/>
  <c r="G41" i="1"/>
  <c r="H41" i="1" s="1"/>
  <c r="J41" i="1" s="1"/>
  <c r="G19" i="1"/>
  <c r="H19" i="1"/>
  <c r="J19" i="1" s="1"/>
  <c r="G10" i="1"/>
  <c r="H10" i="1" s="1"/>
  <c r="J10" i="1" s="1"/>
  <c r="G31" i="1"/>
  <c r="H31" i="1" s="1"/>
  <c r="J31" i="1" s="1"/>
  <c r="G27" i="1"/>
  <c r="H27" i="1" s="1"/>
  <c r="J27" i="1" s="1"/>
  <c r="G51" i="1"/>
  <c r="H51" i="1" s="1"/>
  <c r="J51" i="1" s="1"/>
  <c r="G34" i="1"/>
  <c r="H34" i="1" s="1"/>
  <c r="J34" i="1" s="1"/>
  <c r="G48" i="1"/>
  <c r="H48" i="1" s="1"/>
  <c r="J48" i="1" s="1"/>
  <c r="G47" i="1"/>
  <c r="H47" i="1" s="1"/>
  <c r="J47" i="1" s="1"/>
  <c r="G45" i="1"/>
  <c r="H45" i="1" s="1"/>
  <c r="J45" i="1" s="1"/>
  <c r="G43" i="1"/>
  <c r="H43" i="1" s="1"/>
  <c r="G40" i="1"/>
  <c r="H40" i="1" s="1"/>
  <c r="J40" i="1" s="1"/>
  <c r="G39" i="1"/>
  <c r="H39" i="1" s="1"/>
  <c r="J39" i="1" s="1"/>
  <c r="G35" i="1"/>
  <c r="H35" i="1" s="1"/>
  <c r="J35" i="1" s="1"/>
  <c r="G32" i="1"/>
  <c r="H32" i="1" s="1"/>
  <c r="J32" i="1" s="1"/>
  <c r="G26" i="1"/>
  <c r="H26" i="1" s="1"/>
  <c r="J26" i="1" s="1"/>
  <c r="G25" i="1"/>
  <c r="H25" i="1" s="1"/>
  <c r="J25" i="1" s="1"/>
  <c r="G23" i="1"/>
  <c r="H23" i="1" s="1"/>
  <c r="G15" i="1"/>
  <c r="H15" i="1" s="1"/>
  <c r="J15" i="1" s="1"/>
  <c r="G20" i="1"/>
  <c r="H20" i="1" s="1"/>
  <c r="J20" i="1" s="1"/>
  <c r="G18" i="1"/>
  <c r="H18" i="1" s="1"/>
  <c r="J18" i="1" s="1"/>
  <c r="G17" i="1"/>
  <c r="H17" i="1" s="1"/>
  <c r="J17" i="1" s="1"/>
  <c r="G11" i="1"/>
  <c r="H11" i="1" s="1"/>
  <c r="J11" i="1" s="1"/>
  <c r="G9" i="1"/>
  <c r="H9" i="1" s="1"/>
  <c r="J9" i="1" s="1"/>
  <c r="G8" i="1"/>
  <c r="H8" i="1" s="1"/>
  <c r="J8" i="1" s="1"/>
  <c r="G7" i="1"/>
  <c r="H7" i="1" s="1"/>
  <c r="J7" i="1" s="1"/>
  <c r="G6" i="1"/>
  <c r="H6" i="1" s="1"/>
  <c r="G24" i="1" l="1"/>
  <c r="H24" i="1" s="1"/>
  <c r="J24" i="1" s="1"/>
  <c r="G16" i="1" l="1"/>
  <c r="H16" i="1" s="1"/>
  <c r="J16" i="1" s="1"/>
  <c r="G33" i="1"/>
  <c r="H33" i="1" s="1"/>
  <c r="J33" i="1" s="1"/>
  <c r="J43" i="1" l="1"/>
  <c r="J52" i="1" l="1"/>
  <c r="J23" i="1" l="1"/>
  <c r="J6" i="1"/>
  <c r="J55" i="1" l="1"/>
</calcChain>
</file>

<file path=xl/sharedStrings.xml><?xml version="1.0" encoding="utf-8"?>
<sst xmlns="http://schemas.openxmlformats.org/spreadsheetml/2006/main" count="133" uniqueCount="78">
  <si>
    <t>AMOUNT</t>
  </si>
  <si>
    <t>TOTAL</t>
  </si>
  <si>
    <t>RATE</t>
  </si>
  <si>
    <t>SFT</t>
  </si>
  <si>
    <t>AREA</t>
  </si>
  <si>
    <t>HEIGHT</t>
  </si>
  <si>
    <t>WIDTH</t>
  </si>
  <si>
    <t>ITEMS</t>
  </si>
  <si>
    <t>SRI SHIVA SAI INTERIORS
PHONE NO-9916310545.
#17,SUMRUDDHI LAYOUT, NEAR KASHI BAVI  ANJANEYA TEMPLE, BIDARAHALLI, BENGALURU  49</t>
  </si>
  <si>
    <t>MASTER BEDROOM</t>
  </si>
  <si>
    <t>LOFT</t>
  </si>
  <si>
    <t>Hardware Specifications:</t>
  </si>
  <si>
    <t xml:space="preserve">boxes &amp; backside of all boxes 6mm ply will be used &amp; 19mm board. </t>
  </si>
  <si>
    <t>For all the applications 0.7mm laminate inside &amp; 1mm laminate outside will be used.</t>
  </si>
  <si>
    <t xml:space="preserve">Door hinges are hettich brand will be used &amp; drawer channel  are also hettich brand. </t>
  </si>
  <si>
    <r>
      <t xml:space="preserve">Wardrobe locks are godrej brand will be used &amp; door handles are </t>
    </r>
    <r>
      <rPr>
        <b/>
        <sz val="11"/>
        <color theme="1"/>
        <rFont val="Calibri"/>
        <family val="2"/>
        <scheme val="minor"/>
      </rPr>
      <t>customer choice</t>
    </r>
    <r>
      <rPr>
        <sz val="11"/>
        <color theme="1"/>
        <rFont val="Calibri"/>
        <family val="2"/>
        <scheme val="minor"/>
      </rPr>
      <t>.</t>
    </r>
  </si>
  <si>
    <t>Elecrtical works will charge extra</t>
  </si>
  <si>
    <t xml:space="preserve"> </t>
  </si>
  <si>
    <t xml:space="preserve">CHILDREN BEDROOM </t>
  </si>
  <si>
    <t>HALL</t>
  </si>
  <si>
    <t>WADROBE</t>
  </si>
  <si>
    <t>WINDOW SITOUT</t>
  </si>
  <si>
    <t>WINDOW LOFT</t>
  </si>
  <si>
    <t>DRESSING MIRROR</t>
  </si>
  <si>
    <t>DRESSING TABLE</t>
  </si>
  <si>
    <t>OPEN LEDGE</t>
  </si>
  <si>
    <t>BATHROOM VANITY BOX</t>
  </si>
  <si>
    <t>STUDY ROOM</t>
  </si>
  <si>
    <t>LOFT-1</t>
  </si>
  <si>
    <t>LOFT-2</t>
  </si>
  <si>
    <t>COMPUTER TABLE-1</t>
  </si>
  <si>
    <t>COMPUTER TABLE-2</t>
  </si>
  <si>
    <t xml:space="preserve">KITCHEN </t>
  </si>
  <si>
    <t>TALL UNIT</t>
  </si>
  <si>
    <t>UTILITY BOTTOM STORAGE</t>
  </si>
  <si>
    <t>UTILITY TOP STORAGE</t>
  </si>
  <si>
    <t>CROCKERY</t>
  </si>
  <si>
    <t>POOJA</t>
  </si>
  <si>
    <t>TV UNIT</t>
  </si>
  <si>
    <t>TV BACKPANEL</t>
  </si>
  <si>
    <t>FALSE CEILING (APPROX)</t>
  </si>
  <si>
    <t>BOTTOM CABINET</t>
  </si>
  <si>
    <t>MIDDLE CABINET</t>
  </si>
  <si>
    <t xml:space="preserve">century sainik mr  plywood brand,  710 Waterproof in kitchen,  </t>
  </si>
  <si>
    <t>COMON BATHROOM VANITY</t>
  </si>
  <si>
    <t>RAFTOR PANEL</t>
  </si>
  <si>
    <t>ENTRANCE PANEL</t>
  </si>
  <si>
    <t>WINDOW PANEL</t>
  </si>
  <si>
    <t xml:space="preserve">WINDOW PANEL </t>
  </si>
  <si>
    <t xml:space="preserve">UTILITY WINDOW CABINET </t>
  </si>
  <si>
    <t>SHOWCASE</t>
  </si>
  <si>
    <t>FALSE CEILING WOODEN RAFTOR</t>
  </si>
  <si>
    <t>POOJA PROFILE DOOR</t>
  </si>
  <si>
    <t>02 DOORS</t>
  </si>
  <si>
    <t xml:space="preserve">PROFILE DOORS </t>
  </si>
  <si>
    <t>04 DOORS</t>
  </si>
  <si>
    <t xml:space="preserve"> PROFILE DOORS</t>
  </si>
  <si>
    <t>04DOORS</t>
  </si>
  <si>
    <t>BOOKSHELF</t>
  </si>
  <si>
    <t>ACRYLIC SHEETS ADDITIONAL COST</t>
  </si>
  <si>
    <t>07SHEETS</t>
  </si>
  <si>
    <t>TENDOM BASKETS</t>
  </si>
  <si>
    <t>07PCS</t>
  </si>
  <si>
    <t>CLIENT NAME  : GOPAL                                                                         FLAT NO            :  3073                                                                              PHONE  NO      : 91 8050446124</t>
  </si>
  <si>
    <t>CLIENT NAME  : GOPAL                                                                         FLAT NO            : 3073                                                                                PHONE  NO      : 91 8050446124</t>
  </si>
  <si>
    <t>LED MIRROR</t>
  </si>
  <si>
    <t>BED WITHOUT STORAGE</t>
  </si>
  <si>
    <t>UTILITY GRANITE (BLACK)</t>
  </si>
  <si>
    <t>GRANITE USED FOR PLATFORM</t>
  </si>
  <si>
    <t>(BLACK)</t>
  </si>
  <si>
    <t>BASKETS</t>
  </si>
  <si>
    <t>07 PCS</t>
  </si>
  <si>
    <t>SHOE RACK</t>
  </si>
  <si>
    <t>Hndles</t>
  </si>
  <si>
    <t>Pooja Door bells</t>
  </si>
  <si>
    <t>Gopuram</t>
  </si>
  <si>
    <t>Showcase Open door</t>
  </si>
  <si>
    <t>Wardrobe pannels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</si>
</sst>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wrapText="1"/>
    </xf>
    <xf numFmtId="0" fontId="6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3" fillId="2" borderId="7" xfId="0" applyFont="1" applyFill="1" applyBorder="1"/>
    <xf numFmtId="0" fontId="0" fillId="2" borderId="0" xfId="0" applyFill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1" fillId="0" borderId="1" xfId="0" applyFont="1" applyBorder="1" applyAlignment="1">
      <alignment horizontal="right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3" fontId="1" fillId="0" borderId="0" xfId="0" applyNumberFormat="1" applyFont="1" applyAlignment="1">
      <alignment vertical="center" wrapText="1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9" fillId="0" borderId="12" xfId="0" applyFont="1" applyBorder="1" applyAlignment="1">
      <alignment horizontal="left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"/>
  <sheetViews>
    <sheetView tabSelected="1" topLeftCell="B4" zoomScale="71" zoomScaleNormal="98" workbookViewId="0">
      <selection activeCell="D12" sqref="D12"/>
    </sheetView>
  </sheetViews>
  <sheetFormatPr defaultRowHeight="14.5" x14ac:dyDescent="0.35"/>
  <cols>
    <col min="1" max="1" width="2.90625" hidden="1" customWidth="1"/>
    <col min="2" max="2" width="2.90625" customWidth="1"/>
    <col min="3" max="3" width="24" customWidth="1"/>
    <col min="4" max="4" width="31.90625" customWidth="1"/>
    <col min="5" max="5" width="11.54296875" customWidth="1"/>
    <col min="6" max="6" width="12.54296875" customWidth="1"/>
    <col min="7" max="7" width="12.6328125" customWidth="1"/>
    <col min="8" max="8" width="12.54296875" customWidth="1"/>
    <col min="9" max="9" width="12.36328125" customWidth="1"/>
    <col min="10" max="10" width="16.453125" customWidth="1"/>
    <col min="13" max="13" width="23.26953125" bestFit="1" customWidth="1"/>
  </cols>
  <sheetData>
    <row r="1" spans="3:19" x14ac:dyDescent="0.35">
      <c r="E1" t="s">
        <v>17</v>
      </c>
    </row>
    <row r="2" spans="3:19" ht="57.75" customHeight="1" x14ac:dyDescent="0.35">
      <c r="C2" s="41" t="s">
        <v>8</v>
      </c>
      <c r="D2" s="42"/>
      <c r="E2" s="42"/>
      <c r="F2" s="42"/>
      <c r="G2" s="42"/>
      <c r="H2" s="42"/>
      <c r="I2" s="42"/>
      <c r="J2" s="43"/>
      <c r="L2" s="41" t="s">
        <v>8</v>
      </c>
      <c r="M2" s="42"/>
      <c r="N2" s="42"/>
      <c r="O2" s="42"/>
      <c r="P2" s="42"/>
      <c r="Q2" s="42"/>
      <c r="R2" s="42"/>
      <c r="S2" s="43"/>
    </row>
    <row r="3" spans="3:19" ht="53.25" customHeight="1" x14ac:dyDescent="0.45">
      <c r="C3" s="44" t="s">
        <v>63</v>
      </c>
      <c r="D3" s="45"/>
      <c r="E3" s="4"/>
      <c r="F3" s="3"/>
      <c r="G3" s="3"/>
      <c r="H3" s="15"/>
      <c r="I3" s="15"/>
      <c r="J3" s="15"/>
      <c r="L3" s="44" t="s">
        <v>64</v>
      </c>
      <c r="M3" s="45"/>
      <c r="N3" s="50"/>
      <c r="O3" s="49"/>
      <c r="P3" s="49"/>
      <c r="Q3" s="59"/>
      <c r="R3" s="59"/>
      <c r="S3" s="59"/>
    </row>
    <row r="4" spans="3:19" ht="14.25" customHeight="1" x14ac:dyDescent="0.35">
      <c r="C4" s="31"/>
      <c r="D4" s="5" t="s">
        <v>7</v>
      </c>
      <c r="E4" s="5" t="s">
        <v>5</v>
      </c>
      <c r="F4" s="7" t="s">
        <v>6</v>
      </c>
      <c r="G4" s="7" t="s">
        <v>4</v>
      </c>
      <c r="H4" s="5" t="s">
        <v>3</v>
      </c>
      <c r="I4" s="8" t="s">
        <v>2</v>
      </c>
      <c r="J4" s="5" t="s">
        <v>0</v>
      </c>
      <c r="L4" s="62"/>
      <c r="M4" s="51" t="s">
        <v>7</v>
      </c>
      <c r="N4" s="51" t="s">
        <v>5</v>
      </c>
      <c r="O4" s="53" t="s">
        <v>6</v>
      </c>
      <c r="P4" s="53" t="s">
        <v>4</v>
      </c>
      <c r="Q4" s="51" t="s">
        <v>3</v>
      </c>
      <c r="R4" s="54" t="s">
        <v>2</v>
      </c>
      <c r="S4" s="51" t="s">
        <v>0</v>
      </c>
    </row>
    <row r="5" spans="3:19" ht="13.5" customHeight="1" x14ac:dyDescent="0.35">
      <c r="C5" s="32" t="s">
        <v>9</v>
      </c>
      <c r="D5" s="1"/>
      <c r="E5" s="6"/>
      <c r="F5" s="7"/>
      <c r="G5" s="7"/>
      <c r="H5" s="5"/>
      <c r="I5" s="8"/>
      <c r="J5" s="11"/>
      <c r="L5" s="63" t="s">
        <v>9</v>
      </c>
      <c r="M5" s="47"/>
      <c r="N5" s="52"/>
      <c r="O5" s="53"/>
      <c r="P5" s="53"/>
      <c r="Q5" s="51"/>
      <c r="R5" s="54"/>
      <c r="S5" s="55"/>
    </row>
    <row r="6" spans="3:19" ht="13.5" customHeight="1" x14ac:dyDescent="0.35">
      <c r="C6" s="32"/>
      <c r="D6" s="35" t="s">
        <v>20</v>
      </c>
      <c r="E6" s="12">
        <v>84</v>
      </c>
      <c r="F6" s="13">
        <v>100</v>
      </c>
      <c r="G6" s="12">
        <f t="shared" ref="G6:G11" si="0">E6*F6</f>
        <v>8400</v>
      </c>
      <c r="H6" s="28">
        <f t="shared" ref="H6:H11" si="1">G6/144</f>
        <v>58.333333333333336</v>
      </c>
      <c r="I6" s="14">
        <v>1200</v>
      </c>
      <c r="J6" s="36">
        <f>H6*I6</f>
        <v>70000</v>
      </c>
      <c r="L6" s="63"/>
      <c r="M6" s="66" t="s">
        <v>20</v>
      </c>
      <c r="N6" s="56">
        <v>84</v>
      </c>
      <c r="O6" s="57">
        <v>100</v>
      </c>
      <c r="P6" s="56">
        <v>8400</v>
      </c>
      <c r="Q6" s="61">
        <v>58.333333333333336</v>
      </c>
      <c r="R6" s="58">
        <v>1200</v>
      </c>
      <c r="S6" s="67">
        <v>70000</v>
      </c>
    </row>
    <row r="7" spans="3:19" ht="13.5" customHeight="1" x14ac:dyDescent="0.35">
      <c r="C7" s="32"/>
      <c r="D7" s="35" t="s">
        <v>10</v>
      </c>
      <c r="E7" s="12">
        <v>30</v>
      </c>
      <c r="F7" s="13">
        <v>100</v>
      </c>
      <c r="G7" s="12">
        <f t="shared" si="0"/>
        <v>3000</v>
      </c>
      <c r="H7" s="28">
        <f t="shared" si="1"/>
        <v>20.833333333333332</v>
      </c>
      <c r="I7" s="14">
        <v>850</v>
      </c>
      <c r="J7" s="36">
        <f t="shared" ref="J7:J12" si="2">H7*I7</f>
        <v>17708.333333333332</v>
      </c>
      <c r="L7" s="63"/>
      <c r="M7" s="66" t="s">
        <v>10</v>
      </c>
      <c r="N7" s="56">
        <v>30</v>
      </c>
      <c r="O7" s="57">
        <v>100</v>
      </c>
      <c r="P7" s="56">
        <v>3000</v>
      </c>
      <c r="Q7" s="61">
        <v>20.833333333333332</v>
      </c>
      <c r="R7" s="58">
        <v>850</v>
      </c>
      <c r="S7" s="67">
        <v>17708.333333333332</v>
      </c>
    </row>
    <row r="8" spans="3:19" ht="13.5" customHeight="1" x14ac:dyDescent="0.35">
      <c r="C8" s="32"/>
      <c r="D8" s="35" t="s">
        <v>21</v>
      </c>
      <c r="E8" s="12">
        <v>30</v>
      </c>
      <c r="F8" s="13">
        <v>84</v>
      </c>
      <c r="G8" s="12">
        <f t="shared" si="0"/>
        <v>2520</v>
      </c>
      <c r="H8" s="28">
        <f t="shared" si="1"/>
        <v>17.5</v>
      </c>
      <c r="I8" s="14">
        <v>1500</v>
      </c>
      <c r="J8" s="36">
        <f t="shared" si="2"/>
        <v>26250</v>
      </c>
      <c r="L8" s="63"/>
      <c r="M8" s="66" t="s">
        <v>21</v>
      </c>
      <c r="N8" s="56">
        <v>30</v>
      </c>
      <c r="O8" s="57">
        <v>84</v>
      </c>
      <c r="P8" s="56">
        <v>2520</v>
      </c>
      <c r="Q8" s="61">
        <v>17.5</v>
      </c>
      <c r="R8" s="58">
        <v>1500</v>
      </c>
      <c r="S8" s="67">
        <v>26250</v>
      </c>
    </row>
    <row r="9" spans="3:19" ht="13.5" customHeight="1" x14ac:dyDescent="0.35">
      <c r="C9" s="32"/>
      <c r="D9" s="35" t="s">
        <v>22</v>
      </c>
      <c r="E9" s="12">
        <v>30</v>
      </c>
      <c r="F9" s="13">
        <v>84</v>
      </c>
      <c r="G9" s="12">
        <f t="shared" si="0"/>
        <v>2520</v>
      </c>
      <c r="H9" s="28">
        <f t="shared" si="1"/>
        <v>17.5</v>
      </c>
      <c r="I9" s="14">
        <v>850</v>
      </c>
      <c r="J9" s="36">
        <f t="shared" si="2"/>
        <v>14875</v>
      </c>
      <c r="L9" s="63"/>
      <c r="M9" s="66" t="s">
        <v>22</v>
      </c>
      <c r="N9" s="56">
        <v>30</v>
      </c>
      <c r="O9" s="57">
        <v>84</v>
      </c>
      <c r="P9" s="56">
        <v>2520</v>
      </c>
      <c r="Q9" s="61">
        <v>17.5</v>
      </c>
      <c r="R9" s="58">
        <v>850</v>
      </c>
      <c r="S9" s="67">
        <v>14875</v>
      </c>
    </row>
    <row r="10" spans="3:19" ht="13.5" customHeight="1" x14ac:dyDescent="0.35">
      <c r="C10" s="32"/>
      <c r="D10" s="35" t="s">
        <v>47</v>
      </c>
      <c r="E10" s="12">
        <v>232</v>
      </c>
      <c r="F10" s="13">
        <v>30</v>
      </c>
      <c r="G10" s="12">
        <f t="shared" si="0"/>
        <v>6960</v>
      </c>
      <c r="H10" s="28">
        <f t="shared" si="1"/>
        <v>48.333333333333336</v>
      </c>
      <c r="I10" s="14">
        <v>550</v>
      </c>
      <c r="J10" s="46">
        <f t="shared" si="2"/>
        <v>26583.333333333336</v>
      </c>
      <c r="L10" s="63"/>
      <c r="M10" s="66" t="s">
        <v>24</v>
      </c>
      <c r="N10" s="56">
        <v>84</v>
      </c>
      <c r="O10" s="57">
        <v>30</v>
      </c>
      <c r="P10" s="56">
        <v>2520</v>
      </c>
      <c r="Q10" s="61">
        <v>17.5</v>
      </c>
      <c r="R10" s="58">
        <v>1200</v>
      </c>
      <c r="S10" s="67">
        <v>21000</v>
      </c>
    </row>
    <row r="11" spans="3:19" ht="13.5" customHeight="1" x14ac:dyDescent="0.35">
      <c r="C11" s="32"/>
      <c r="D11" s="35" t="s">
        <v>24</v>
      </c>
      <c r="E11" s="12">
        <v>84</v>
      </c>
      <c r="F11" s="13">
        <v>30</v>
      </c>
      <c r="G11" s="12">
        <f t="shared" si="0"/>
        <v>2520</v>
      </c>
      <c r="H11" s="28">
        <f t="shared" si="1"/>
        <v>17.5</v>
      </c>
      <c r="I11" s="14">
        <v>1200</v>
      </c>
      <c r="J11" s="36">
        <f t="shared" si="2"/>
        <v>21000</v>
      </c>
      <c r="L11" s="63"/>
      <c r="M11" s="66" t="s">
        <v>25</v>
      </c>
      <c r="N11" s="56">
        <v>12</v>
      </c>
      <c r="O11" s="57">
        <v>78</v>
      </c>
      <c r="P11" s="56">
        <v>936</v>
      </c>
      <c r="Q11" s="61">
        <v>6.5</v>
      </c>
      <c r="R11" s="58">
        <v>950</v>
      </c>
      <c r="S11" s="67">
        <v>6175</v>
      </c>
    </row>
    <row r="12" spans="3:19" ht="13.5" customHeight="1" x14ac:dyDescent="0.35">
      <c r="C12" s="32"/>
      <c r="D12" s="35" t="s">
        <v>45</v>
      </c>
      <c r="E12" s="12"/>
      <c r="F12" s="13"/>
      <c r="G12" s="12"/>
      <c r="H12" s="28">
        <v>24</v>
      </c>
      <c r="I12" s="14">
        <v>750</v>
      </c>
      <c r="J12" s="36">
        <f t="shared" si="2"/>
        <v>18000</v>
      </c>
      <c r="L12" s="63"/>
      <c r="M12" s="66" t="s">
        <v>26</v>
      </c>
      <c r="N12" s="56">
        <v>24</v>
      </c>
      <c r="O12" s="57">
        <v>30</v>
      </c>
      <c r="P12" s="56">
        <v>720</v>
      </c>
      <c r="Q12" s="61">
        <v>5</v>
      </c>
      <c r="R12" s="58">
        <v>1500</v>
      </c>
      <c r="S12" s="67">
        <v>7500</v>
      </c>
    </row>
    <row r="13" spans="3:19" ht="13.5" customHeight="1" x14ac:dyDescent="0.35">
      <c r="C13" s="32"/>
      <c r="D13" s="35" t="s">
        <v>26</v>
      </c>
      <c r="E13" s="12">
        <v>24</v>
      </c>
      <c r="F13" s="13">
        <v>30</v>
      </c>
      <c r="G13" s="12"/>
      <c r="H13" s="28"/>
      <c r="I13" s="14"/>
      <c r="J13" s="46">
        <v>11500</v>
      </c>
      <c r="L13" s="63"/>
      <c r="M13" s="66" t="s">
        <v>65</v>
      </c>
      <c r="N13" s="56"/>
      <c r="O13" s="57"/>
      <c r="P13" s="56"/>
      <c r="Q13" s="61"/>
      <c r="R13" s="58"/>
      <c r="S13" s="67">
        <v>6500</v>
      </c>
    </row>
    <row r="14" spans="3:19" ht="13.5" customHeight="1" x14ac:dyDescent="0.35">
      <c r="C14" s="32" t="s">
        <v>18</v>
      </c>
      <c r="D14" s="35"/>
      <c r="E14" s="12"/>
      <c r="F14" s="13"/>
      <c r="G14" s="12"/>
      <c r="H14" s="12"/>
      <c r="I14" s="14"/>
      <c r="J14" s="36"/>
      <c r="L14" s="63" t="s">
        <v>18</v>
      </c>
      <c r="M14" s="66"/>
      <c r="N14" s="56"/>
      <c r="O14" s="57"/>
      <c r="P14" s="56"/>
      <c r="Q14" s="56"/>
      <c r="R14" s="58"/>
      <c r="S14" s="67"/>
    </row>
    <row r="15" spans="3:19" ht="13.5" customHeight="1" x14ac:dyDescent="0.35">
      <c r="C15" s="32"/>
      <c r="D15" s="35" t="s">
        <v>20</v>
      </c>
      <c r="E15" s="12">
        <v>84</v>
      </c>
      <c r="F15" s="13">
        <v>92</v>
      </c>
      <c r="G15" s="12">
        <f t="shared" ref="G15:G20" si="3">E15*F15</f>
        <v>7728</v>
      </c>
      <c r="H15" s="28">
        <f t="shared" ref="H15:H20" si="4">G15/144</f>
        <v>53.666666666666664</v>
      </c>
      <c r="I15" s="14">
        <v>1200</v>
      </c>
      <c r="J15" s="36">
        <f t="shared" ref="J15:J20" si="5">H15*I15</f>
        <v>64400</v>
      </c>
      <c r="L15" s="63"/>
      <c r="M15" s="66" t="s">
        <v>20</v>
      </c>
      <c r="N15" s="56">
        <v>84</v>
      </c>
      <c r="O15" s="57">
        <v>92</v>
      </c>
      <c r="P15" s="56">
        <v>7728</v>
      </c>
      <c r="Q15" s="61">
        <v>53.666666666666664</v>
      </c>
      <c r="R15" s="58">
        <v>1200</v>
      </c>
      <c r="S15" s="67">
        <v>64400</v>
      </c>
    </row>
    <row r="16" spans="3:19" ht="13.5" customHeight="1" x14ac:dyDescent="0.35">
      <c r="C16" s="32"/>
      <c r="D16" s="35" t="s">
        <v>10</v>
      </c>
      <c r="E16" s="12">
        <v>30</v>
      </c>
      <c r="F16" s="13">
        <v>132</v>
      </c>
      <c r="G16" s="12">
        <f t="shared" si="3"/>
        <v>3960</v>
      </c>
      <c r="H16" s="28">
        <f t="shared" si="4"/>
        <v>27.5</v>
      </c>
      <c r="I16" s="14">
        <v>850</v>
      </c>
      <c r="J16" s="36">
        <f t="shared" si="5"/>
        <v>23375</v>
      </c>
      <c r="L16" s="63"/>
      <c r="M16" s="66" t="s">
        <v>10</v>
      </c>
      <c r="N16" s="56">
        <v>30</v>
      </c>
      <c r="O16" s="57">
        <v>132</v>
      </c>
      <c r="P16" s="56">
        <v>3960</v>
      </c>
      <c r="Q16" s="61">
        <v>27.5</v>
      </c>
      <c r="R16" s="58">
        <v>850</v>
      </c>
      <c r="S16" s="67">
        <v>23375</v>
      </c>
    </row>
    <row r="17" spans="3:19" ht="13.5" customHeight="1" x14ac:dyDescent="0.35">
      <c r="C17" s="32"/>
      <c r="D17" s="35" t="s">
        <v>21</v>
      </c>
      <c r="E17" s="12">
        <v>24</v>
      </c>
      <c r="F17" s="13">
        <v>72</v>
      </c>
      <c r="G17" s="12">
        <f t="shared" si="3"/>
        <v>1728</v>
      </c>
      <c r="H17" s="28">
        <f t="shared" si="4"/>
        <v>12</v>
      </c>
      <c r="I17" s="14">
        <v>1500</v>
      </c>
      <c r="J17" s="36">
        <f t="shared" si="5"/>
        <v>18000</v>
      </c>
      <c r="L17" s="63"/>
      <c r="M17" s="66" t="s">
        <v>66</v>
      </c>
      <c r="N17" s="56"/>
      <c r="O17" s="57"/>
      <c r="P17" s="56"/>
      <c r="Q17" s="61"/>
      <c r="R17" s="58"/>
      <c r="S17" s="67">
        <v>35000</v>
      </c>
    </row>
    <row r="18" spans="3:19" ht="13.5" customHeight="1" x14ac:dyDescent="0.35">
      <c r="C18" s="32"/>
      <c r="D18" s="35" t="s">
        <v>22</v>
      </c>
      <c r="E18" s="12">
        <v>30</v>
      </c>
      <c r="F18" s="13">
        <v>72</v>
      </c>
      <c r="G18" s="12">
        <f t="shared" si="3"/>
        <v>2160</v>
      </c>
      <c r="H18" s="28">
        <f t="shared" si="4"/>
        <v>15</v>
      </c>
      <c r="I18" s="14">
        <v>850</v>
      </c>
      <c r="J18" s="36">
        <f t="shared" si="5"/>
        <v>12750</v>
      </c>
      <c r="L18" s="63"/>
      <c r="M18" s="66" t="s">
        <v>21</v>
      </c>
      <c r="N18" s="56">
        <v>24</v>
      </c>
      <c r="O18" s="57">
        <v>72</v>
      </c>
      <c r="P18" s="56">
        <v>1728</v>
      </c>
      <c r="Q18" s="61">
        <v>12</v>
      </c>
      <c r="R18" s="58">
        <v>1500</v>
      </c>
      <c r="S18" s="67">
        <v>18000</v>
      </c>
    </row>
    <row r="19" spans="3:19" ht="13.5" customHeight="1" x14ac:dyDescent="0.35">
      <c r="C19" s="32"/>
      <c r="D19" s="35" t="s">
        <v>48</v>
      </c>
      <c r="E19" s="12">
        <v>208</v>
      </c>
      <c r="F19" s="13">
        <v>24</v>
      </c>
      <c r="G19" s="12">
        <f t="shared" si="3"/>
        <v>4992</v>
      </c>
      <c r="H19" s="28">
        <f t="shared" si="4"/>
        <v>34.666666666666664</v>
      </c>
      <c r="I19" s="14">
        <v>550</v>
      </c>
      <c r="J19" s="36">
        <f t="shared" si="5"/>
        <v>19066.666666666664</v>
      </c>
      <c r="L19" s="63"/>
      <c r="M19" s="66" t="s">
        <v>22</v>
      </c>
      <c r="N19" s="56">
        <v>30</v>
      </c>
      <c r="O19" s="57">
        <v>72</v>
      </c>
      <c r="P19" s="56">
        <v>2160</v>
      </c>
      <c r="Q19" s="61">
        <v>15</v>
      </c>
      <c r="R19" s="58">
        <v>850</v>
      </c>
      <c r="S19" s="67">
        <v>12750</v>
      </c>
    </row>
    <row r="20" spans="3:19" ht="13.5" customHeight="1" x14ac:dyDescent="0.35">
      <c r="C20" s="32"/>
      <c r="D20" s="35" t="s">
        <v>23</v>
      </c>
      <c r="E20" s="12">
        <v>84</v>
      </c>
      <c r="F20" s="13">
        <v>36</v>
      </c>
      <c r="G20" s="12">
        <f t="shared" si="3"/>
        <v>3024</v>
      </c>
      <c r="H20" s="28">
        <f t="shared" si="4"/>
        <v>21</v>
      </c>
      <c r="I20" s="14">
        <v>850</v>
      </c>
      <c r="J20" s="46">
        <f t="shared" si="5"/>
        <v>17850</v>
      </c>
      <c r="L20" s="63"/>
      <c r="M20" s="66" t="s">
        <v>23</v>
      </c>
      <c r="N20" s="56">
        <v>84</v>
      </c>
      <c r="O20" s="57">
        <v>30</v>
      </c>
      <c r="P20" s="56">
        <v>2520</v>
      </c>
      <c r="Q20" s="61">
        <v>17.5</v>
      </c>
      <c r="R20" s="58">
        <v>850</v>
      </c>
      <c r="S20" s="67">
        <v>14875</v>
      </c>
    </row>
    <row r="21" spans="3:19" ht="13.5" customHeight="1" x14ac:dyDescent="0.35">
      <c r="C21" s="32"/>
      <c r="D21" s="35" t="s">
        <v>44</v>
      </c>
      <c r="E21" s="12">
        <v>30</v>
      </c>
      <c r="F21" s="13">
        <v>24</v>
      </c>
      <c r="G21" s="12"/>
      <c r="H21" s="28"/>
      <c r="I21" s="14"/>
      <c r="J21" s="36">
        <v>11500</v>
      </c>
      <c r="L21" s="63"/>
      <c r="M21" s="66" t="s">
        <v>44</v>
      </c>
      <c r="N21" s="56">
        <v>30</v>
      </c>
      <c r="O21" s="57">
        <v>24</v>
      </c>
      <c r="P21" s="56">
        <v>720</v>
      </c>
      <c r="Q21" s="61">
        <v>5</v>
      </c>
      <c r="R21" s="58">
        <v>1500</v>
      </c>
      <c r="S21" s="67">
        <v>7500</v>
      </c>
    </row>
    <row r="22" spans="3:19" ht="13.5" customHeight="1" x14ac:dyDescent="0.35">
      <c r="C22" s="32" t="s">
        <v>27</v>
      </c>
      <c r="D22" s="35"/>
      <c r="E22" s="37"/>
      <c r="F22" s="38"/>
      <c r="G22" s="12"/>
      <c r="H22" s="12"/>
      <c r="I22" s="14"/>
      <c r="J22" s="36"/>
      <c r="L22" s="63"/>
      <c r="M22" s="66" t="s">
        <v>65</v>
      </c>
      <c r="N22" s="56"/>
      <c r="O22" s="57"/>
      <c r="P22" s="56"/>
      <c r="Q22" s="56"/>
      <c r="R22" s="58"/>
      <c r="S22" s="67">
        <v>6500</v>
      </c>
    </row>
    <row r="23" spans="3:19" ht="13.5" customHeight="1" x14ac:dyDescent="0.35">
      <c r="C23" s="32"/>
      <c r="D23" s="35" t="s">
        <v>20</v>
      </c>
      <c r="E23" s="12">
        <v>84</v>
      </c>
      <c r="F23" s="13">
        <v>36</v>
      </c>
      <c r="G23" s="12">
        <f t="shared" ref="G23:G31" si="6">E23*F23</f>
        <v>3024</v>
      </c>
      <c r="H23" s="28">
        <f t="shared" ref="H23:H28" si="7">G23/144</f>
        <v>21</v>
      </c>
      <c r="I23" s="14">
        <v>1200</v>
      </c>
      <c r="J23" s="36">
        <f t="shared" ref="J23:J52" si="8">H23*I23</f>
        <v>25200</v>
      </c>
      <c r="L23" s="63" t="s">
        <v>27</v>
      </c>
      <c r="M23" s="66"/>
      <c r="N23" s="68"/>
      <c r="O23" s="69"/>
      <c r="P23" s="56"/>
      <c r="Q23" s="56"/>
      <c r="R23" s="58"/>
      <c r="S23" s="67"/>
    </row>
    <row r="24" spans="3:19" ht="13.5" customHeight="1" x14ac:dyDescent="0.35">
      <c r="C24" s="32"/>
      <c r="D24" s="35" t="s">
        <v>28</v>
      </c>
      <c r="E24" s="12">
        <v>30</v>
      </c>
      <c r="F24" s="13">
        <v>102</v>
      </c>
      <c r="G24" s="12">
        <f t="shared" si="6"/>
        <v>3060</v>
      </c>
      <c r="H24" s="28">
        <f t="shared" si="7"/>
        <v>21.25</v>
      </c>
      <c r="I24" s="14">
        <v>850</v>
      </c>
      <c r="J24" s="36">
        <f t="shared" si="8"/>
        <v>18062.5</v>
      </c>
      <c r="L24" s="63"/>
      <c r="M24" s="66" t="s">
        <v>20</v>
      </c>
      <c r="N24" s="56">
        <v>84</v>
      </c>
      <c r="O24" s="57">
        <v>36</v>
      </c>
      <c r="P24" s="56">
        <v>3024</v>
      </c>
      <c r="Q24" s="61">
        <v>21</v>
      </c>
      <c r="R24" s="58">
        <v>1200</v>
      </c>
      <c r="S24" s="67">
        <v>25200</v>
      </c>
    </row>
    <row r="25" spans="3:19" ht="13.5" customHeight="1" x14ac:dyDescent="0.35">
      <c r="C25" s="32"/>
      <c r="D25" s="35" t="s">
        <v>29</v>
      </c>
      <c r="E25" s="12">
        <v>30</v>
      </c>
      <c r="F25" s="13">
        <v>102</v>
      </c>
      <c r="G25" s="12">
        <f t="shared" si="6"/>
        <v>3060</v>
      </c>
      <c r="H25" s="28">
        <f t="shared" si="7"/>
        <v>21.25</v>
      </c>
      <c r="I25" s="14">
        <v>850</v>
      </c>
      <c r="J25" s="36">
        <f t="shared" si="8"/>
        <v>18062.5</v>
      </c>
      <c r="L25" s="63"/>
      <c r="M25" s="66" t="s">
        <v>28</v>
      </c>
      <c r="N25" s="56">
        <v>30</v>
      </c>
      <c r="O25" s="57">
        <v>102</v>
      </c>
      <c r="P25" s="56">
        <v>3060</v>
      </c>
      <c r="Q25" s="61">
        <v>21.25</v>
      </c>
      <c r="R25" s="58">
        <v>850</v>
      </c>
      <c r="S25" s="67">
        <v>18062.5</v>
      </c>
    </row>
    <row r="26" spans="3:19" ht="13.5" customHeight="1" x14ac:dyDescent="0.35">
      <c r="C26" s="32"/>
      <c r="D26" s="35" t="s">
        <v>30</v>
      </c>
      <c r="E26" s="12">
        <v>18</v>
      </c>
      <c r="F26" s="13">
        <v>60</v>
      </c>
      <c r="G26" s="12">
        <f t="shared" si="6"/>
        <v>1080</v>
      </c>
      <c r="H26" s="28">
        <f t="shared" si="7"/>
        <v>7.5</v>
      </c>
      <c r="I26" s="14">
        <v>1200</v>
      </c>
      <c r="J26" s="36">
        <f t="shared" si="8"/>
        <v>9000</v>
      </c>
      <c r="L26" s="63"/>
      <c r="M26" s="66" t="s">
        <v>29</v>
      </c>
      <c r="N26" s="56">
        <v>30</v>
      </c>
      <c r="O26" s="57">
        <v>102</v>
      </c>
      <c r="P26" s="56">
        <v>3060</v>
      </c>
      <c r="Q26" s="61">
        <v>21.25</v>
      </c>
      <c r="R26" s="58">
        <v>850</v>
      </c>
      <c r="S26" s="67">
        <v>18062.5</v>
      </c>
    </row>
    <row r="27" spans="3:19" ht="13.5" customHeight="1" x14ac:dyDescent="0.35">
      <c r="C27" s="32"/>
      <c r="D27" s="35" t="s">
        <v>31</v>
      </c>
      <c r="E27" s="12">
        <v>18</v>
      </c>
      <c r="F27" s="13">
        <v>66</v>
      </c>
      <c r="G27" s="12">
        <f t="shared" si="6"/>
        <v>1188</v>
      </c>
      <c r="H27" s="28">
        <f t="shared" si="7"/>
        <v>8.25</v>
      </c>
      <c r="I27" s="14">
        <v>1200</v>
      </c>
      <c r="J27" s="36">
        <f t="shared" si="8"/>
        <v>9900</v>
      </c>
      <c r="L27" s="63"/>
      <c r="M27" s="66" t="s">
        <v>66</v>
      </c>
      <c r="N27" s="56"/>
      <c r="O27" s="57"/>
      <c r="P27" s="56"/>
      <c r="Q27" s="61"/>
      <c r="R27" s="58"/>
      <c r="S27" s="67">
        <v>35000</v>
      </c>
    </row>
    <row r="28" spans="3:19" ht="13.5" customHeight="1" x14ac:dyDescent="0.35">
      <c r="C28" s="32"/>
      <c r="D28" s="35" t="s">
        <v>58</v>
      </c>
      <c r="E28" s="12">
        <v>27</v>
      </c>
      <c r="F28" s="13">
        <v>66</v>
      </c>
      <c r="G28" s="12">
        <f t="shared" si="6"/>
        <v>1782</v>
      </c>
      <c r="H28" s="28">
        <f t="shared" si="7"/>
        <v>12.375</v>
      </c>
      <c r="I28" s="14">
        <v>1200</v>
      </c>
      <c r="J28" s="36">
        <f t="shared" si="8"/>
        <v>14850</v>
      </c>
      <c r="L28" s="63"/>
      <c r="M28" s="66" t="s">
        <v>30</v>
      </c>
      <c r="N28" s="56">
        <v>18</v>
      </c>
      <c r="O28" s="57">
        <v>60</v>
      </c>
      <c r="P28" s="56">
        <v>1080</v>
      </c>
      <c r="Q28" s="61">
        <v>7.5</v>
      </c>
      <c r="R28" s="58">
        <v>1200</v>
      </c>
      <c r="S28" s="67">
        <v>9000</v>
      </c>
    </row>
    <row r="29" spans="3:19" ht="13.5" customHeight="1" x14ac:dyDescent="0.35">
      <c r="C29" s="32"/>
      <c r="D29" s="35" t="s">
        <v>54</v>
      </c>
      <c r="E29" s="12" t="s">
        <v>57</v>
      </c>
      <c r="F29" s="13"/>
      <c r="G29" s="12"/>
      <c r="H29" s="28"/>
      <c r="I29" s="14"/>
      <c r="J29" s="36">
        <v>10000</v>
      </c>
      <c r="L29" s="63"/>
      <c r="M29" s="66" t="s">
        <v>31</v>
      </c>
      <c r="N29" s="56">
        <v>18</v>
      </c>
      <c r="O29" s="57">
        <v>66</v>
      </c>
      <c r="P29" s="56">
        <v>1188</v>
      </c>
      <c r="Q29" s="61">
        <v>8.25</v>
      </c>
      <c r="R29" s="58">
        <v>1200</v>
      </c>
      <c r="S29" s="67">
        <v>9900</v>
      </c>
    </row>
    <row r="30" spans="3:19" ht="13.5" customHeight="1" x14ac:dyDescent="0.35">
      <c r="C30" s="32" t="s">
        <v>32</v>
      </c>
      <c r="D30" s="35"/>
      <c r="E30" s="12"/>
      <c r="F30" s="13"/>
      <c r="G30" s="12"/>
      <c r="H30" s="28"/>
      <c r="I30" s="14"/>
      <c r="J30" s="36"/>
      <c r="L30" s="63" t="s">
        <v>32</v>
      </c>
      <c r="M30" s="66"/>
      <c r="N30" s="56"/>
      <c r="O30" s="57"/>
      <c r="P30" s="56">
        <v>0</v>
      </c>
      <c r="Q30" s="61"/>
      <c r="R30" s="58"/>
      <c r="S30" s="67"/>
    </row>
    <row r="31" spans="3:19" ht="13.5" customHeight="1" x14ac:dyDescent="0.35">
      <c r="C31" s="32"/>
      <c r="D31" s="35" t="s">
        <v>46</v>
      </c>
      <c r="E31" s="12">
        <v>210</v>
      </c>
      <c r="F31" s="13">
        <v>12</v>
      </c>
      <c r="G31" s="12">
        <f t="shared" si="6"/>
        <v>2520</v>
      </c>
      <c r="H31" s="28">
        <f t="shared" ref="H31:H41" si="9">G31/144</f>
        <v>17.5</v>
      </c>
      <c r="I31" s="14">
        <v>550</v>
      </c>
      <c r="J31" s="36">
        <f t="shared" si="8"/>
        <v>9625</v>
      </c>
      <c r="L31" s="63"/>
      <c r="M31" s="66" t="s">
        <v>46</v>
      </c>
      <c r="N31" s="56">
        <v>210</v>
      </c>
      <c r="O31" s="57">
        <v>12</v>
      </c>
      <c r="P31" s="56">
        <v>2520</v>
      </c>
      <c r="Q31" s="61">
        <v>17.5</v>
      </c>
      <c r="R31" s="58">
        <v>550</v>
      </c>
      <c r="S31" s="67">
        <v>9625</v>
      </c>
    </row>
    <row r="32" spans="3:19" ht="13.5" customHeight="1" x14ac:dyDescent="0.35">
      <c r="C32" s="33"/>
      <c r="D32" s="35" t="s">
        <v>41</v>
      </c>
      <c r="E32" s="12">
        <v>33</v>
      </c>
      <c r="F32" s="13">
        <v>197</v>
      </c>
      <c r="G32" s="12">
        <f t="shared" ref="G32:G41" si="10">E32*F32</f>
        <v>6501</v>
      </c>
      <c r="H32" s="28">
        <f t="shared" si="9"/>
        <v>45.145833333333336</v>
      </c>
      <c r="I32" s="14">
        <v>1500</v>
      </c>
      <c r="J32" s="36">
        <f t="shared" si="8"/>
        <v>67718.75</v>
      </c>
      <c r="L32" s="64"/>
      <c r="M32" s="66" t="s">
        <v>41</v>
      </c>
      <c r="N32" s="56">
        <v>33</v>
      </c>
      <c r="O32" s="57">
        <v>197</v>
      </c>
      <c r="P32" s="56">
        <v>6501</v>
      </c>
      <c r="Q32" s="61">
        <v>45.145833333333336</v>
      </c>
      <c r="R32" s="58">
        <v>1500</v>
      </c>
      <c r="S32" s="67">
        <v>67718.75</v>
      </c>
    </row>
    <row r="33" spans="3:19" ht="13.5" customHeight="1" x14ac:dyDescent="0.35">
      <c r="C33" s="34"/>
      <c r="D33" s="35" t="s">
        <v>33</v>
      </c>
      <c r="E33" s="12">
        <v>24</v>
      </c>
      <c r="F33" s="13">
        <v>84</v>
      </c>
      <c r="G33" s="12">
        <f t="shared" si="10"/>
        <v>2016</v>
      </c>
      <c r="H33" s="28">
        <f t="shared" si="9"/>
        <v>14</v>
      </c>
      <c r="I33" s="14">
        <v>1500</v>
      </c>
      <c r="J33" s="36">
        <f t="shared" si="8"/>
        <v>21000</v>
      </c>
      <c r="L33" s="65"/>
      <c r="M33" s="66" t="s">
        <v>33</v>
      </c>
      <c r="N33" s="56">
        <v>24</v>
      </c>
      <c r="O33" s="57">
        <v>84</v>
      </c>
      <c r="P33" s="56">
        <v>2016</v>
      </c>
      <c r="Q33" s="61">
        <v>14</v>
      </c>
      <c r="R33" s="58">
        <v>1500</v>
      </c>
      <c r="S33" s="67">
        <v>21000</v>
      </c>
    </row>
    <row r="34" spans="3:19" ht="13.5" customHeight="1" x14ac:dyDescent="0.35">
      <c r="C34" s="34"/>
      <c r="D34" s="35" t="s">
        <v>42</v>
      </c>
      <c r="E34" s="12">
        <v>26</v>
      </c>
      <c r="F34" s="13">
        <v>197</v>
      </c>
      <c r="G34" s="12">
        <f t="shared" si="10"/>
        <v>5122</v>
      </c>
      <c r="H34" s="28">
        <f t="shared" si="9"/>
        <v>35.569444444444443</v>
      </c>
      <c r="I34" s="14">
        <v>1500</v>
      </c>
      <c r="J34" s="36">
        <f t="shared" si="8"/>
        <v>53354.166666666664</v>
      </c>
      <c r="L34" s="65"/>
      <c r="M34" s="66" t="s">
        <v>42</v>
      </c>
      <c r="N34" s="56">
        <v>26</v>
      </c>
      <c r="O34" s="57">
        <v>197</v>
      </c>
      <c r="P34" s="56">
        <v>5122</v>
      </c>
      <c r="Q34" s="61">
        <v>35.569444444444443</v>
      </c>
      <c r="R34" s="58">
        <v>1500</v>
      </c>
      <c r="S34" s="67">
        <v>53354.166666666664</v>
      </c>
    </row>
    <row r="35" spans="3:19" ht="13.5" customHeight="1" x14ac:dyDescent="0.35">
      <c r="C35" s="34"/>
      <c r="D35" s="35" t="s">
        <v>10</v>
      </c>
      <c r="E35" s="12">
        <v>30</v>
      </c>
      <c r="F35" s="13">
        <v>228</v>
      </c>
      <c r="G35" s="12">
        <f t="shared" si="10"/>
        <v>6840</v>
      </c>
      <c r="H35" s="28">
        <f t="shared" si="9"/>
        <v>47.5</v>
      </c>
      <c r="I35" s="14">
        <v>850</v>
      </c>
      <c r="J35" s="36">
        <f t="shared" si="8"/>
        <v>40375</v>
      </c>
      <c r="L35" s="65"/>
      <c r="M35" s="66" t="s">
        <v>10</v>
      </c>
      <c r="N35" s="56">
        <v>30</v>
      </c>
      <c r="O35" s="57">
        <v>228</v>
      </c>
      <c r="P35" s="56">
        <v>6840</v>
      </c>
      <c r="Q35" s="61">
        <v>47.5</v>
      </c>
      <c r="R35" s="58">
        <v>850</v>
      </c>
      <c r="S35" s="67">
        <v>40375</v>
      </c>
    </row>
    <row r="36" spans="3:19" ht="13.5" customHeight="1" x14ac:dyDescent="0.35">
      <c r="C36" s="34"/>
      <c r="D36" s="35" t="s">
        <v>61</v>
      </c>
      <c r="E36" s="12" t="s">
        <v>62</v>
      </c>
      <c r="F36" s="13"/>
      <c r="G36" s="12"/>
      <c r="H36" s="28"/>
      <c r="I36" s="14"/>
      <c r="J36" s="36">
        <v>35000</v>
      </c>
      <c r="L36" s="65"/>
      <c r="M36" s="66" t="s">
        <v>34</v>
      </c>
      <c r="N36" s="56">
        <v>36</v>
      </c>
      <c r="O36" s="57">
        <v>54</v>
      </c>
      <c r="P36" s="56">
        <v>1944</v>
      </c>
      <c r="Q36" s="61">
        <v>13.5</v>
      </c>
      <c r="R36" s="58">
        <v>1500</v>
      </c>
      <c r="S36" s="67">
        <v>20250</v>
      </c>
    </row>
    <row r="37" spans="3:19" ht="13.5" customHeight="1" x14ac:dyDescent="0.35">
      <c r="C37" s="34"/>
      <c r="D37" s="35" t="s">
        <v>56</v>
      </c>
      <c r="E37" s="12" t="s">
        <v>55</v>
      </c>
      <c r="F37" s="13"/>
      <c r="G37" s="12"/>
      <c r="H37" s="28"/>
      <c r="I37" s="14"/>
      <c r="J37" s="36">
        <v>10000</v>
      </c>
      <c r="L37" s="63"/>
      <c r="M37" s="66" t="s">
        <v>35</v>
      </c>
      <c r="N37" s="56">
        <v>54</v>
      </c>
      <c r="O37" s="57">
        <v>54</v>
      </c>
      <c r="P37" s="56">
        <v>2916</v>
      </c>
      <c r="Q37" s="61">
        <v>20.25</v>
      </c>
      <c r="R37" s="58">
        <v>1500</v>
      </c>
      <c r="S37" s="67">
        <v>30375</v>
      </c>
    </row>
    <row r="38" spans="3:19" ht="13.5" customHeight="1" x14ac:dyDescent="0.35">
      <c r="C38" s="34"/>
      <c r="D38" s="35" t="s">
        <v>59</v>
      </c>
      <c r="E38" s="12" t="s">
        <v>60</v>
      </c>
      <c r="F38" s="13"/>
      <c r="G38" s="12"/>
      <c r="H38" s="28"/>
      <c r="I38" s="14"/>
      <c r="J38" s="36">
        <v>17500</v>
      </c>
      <c r="L38" s="63"/>
      <c r="M38" s="66" t="s">
        <v>67</v>
      </c>
      <c r="N38" s="56">
        <v>2</v>
      </c>
      <c r="O38" s="57"/>
      <c r="P38" s="56"/>
      <c r="Q38" s="61"/>
      <c r="R38" s="58"/>
      <c r="S38" s="67">
        <v>11000</v>
      </c>
    </row>
    <row r="39" spans="3:19" ht="13.5" customHeight="1" x14ac:dyDescent="0.35">
      <c r="C39" s="34"/>
      <c r="D39" s="35" t="s">
        <v>34</v>
      </c>
      <c r="E39" s="12">
        <v>36</v>
      </c>
      <c r="F39" s="13">
        <v>54</v>
      </c>
      <c r="G39" s="12">
        <f t="shared" si="10"/>
        <v>1944</v>
      </c>
      <c r="H39" s="28">
        <f t="shared" si="9"/>
        <v>13.5</v>
      </c>
      <c r="I39" s="14">
        <v>1500</v>
      </c>
      <c r="J39" s="36">
        <f t="shared" si="8"/>
        <v>20250</v>
      </c>
      <c r="L39" s="63"/>
      <c r="M39" s="66" t="s">
        <v>68</v>
      </c>
      <c r="N39" s="56" t="s">
        <v>69</v>
      </c>
      <c r="O39" s="57"/>
      <c r="P39" s="56"/>
      <c r="Q39" s="61"/>
      <c r="R39" s="58"/>
      <c r="S39" s="67">
        <v>25000</v>
      </c>
    </row>
    <row r="40" spans="3:19" ht="13.5" customHeight="1" x14ac:dyDescent="0.35">
      <c r="C40" s="32"/>
      <c r="D40" s="35" t="s">
        <v>35</v>
      </c>
      <c r="E40" s="12">
        <v>54</v>
      </c>
      <c r="F40" s="13">
        <v>54</v>
      </c>
      <c r="G40" s="12">
        <f t="shared" si="10"/>
        <v>2916</v>
      </c>
      <c r="H40" s="28">
        <f t="shared" si="9"/>
        <v>20.25</v>
      </c>
      <c r="I40" s="14">
        <v>1500</v>
      </c>
      <c r="J40" s="36">
        <f t="shared" si="8"/>
        <v>30375</v>
      </c>
      <c r="L40" s="63"/>
      <c r="M40" s="66" t="s">
        <v>70</v>
      </c>
      <c r="N40" s="56" t="s">
        <v>71</v>
      </c>
      <c r="O40" s="57"/>
      <c r="P40" s="56"/>
      <c r="Q40" s="56"/>
      <c r="R40" s="58"/>
      <c r="S40" s="67">
        <v>35000</v>
      </c>
    </row>
    <row r="41" spans="3:19" ht="13.5" customHeight="1" x14ac:dyDescent="0.35">
      <c r="C41" s="32"/>
      <c r="D41" s="35" t="s">
        <v>49</v>
      </c>
      <c r="E41" s="12">
        <v>24</v>
      </c>
      <c r="F41" s="13">
        <v>128</v>
      </c>
      <c r="G41" s="12">
        <f t="shared" si="10"/>
        <v>3072</v>
      </c>
      <c r="H41" s="28">
        <f t="shared" si="9"/>
        <v>21.333333333333332</v>
      </c>
      <c r="I41" s="14">
        <v>550</v>
      </c>
      <c r="J41" s="36">
        <f t="shared" si="8"/>
        <v>11733.333333333332</v>
      </c>
      <c r="L41" s="63" t="s">
        <v>19</v>
      </c>
      <c r="M41" s="66"/>
      <c r="N41" s="56"/>
      <c r="O41" s="57"/>
      <c r="P41" s="56"/>
      <c r="Q41" s="56"/>
      <c r="R41" s="58"/>
      <c r="S41" s="67"/>
    </row>
    <row r="42" spans="3:19" ht="13.5" customHeight="1" x14ac:dyDescent="0.35">
      <c r="C42" s="32" t="s">
        <v>19</v>
      </c>
      <c r="D42" s="35"/>
      <c r="E42" s="12"/>
      <c r="F42" s="13"/>
      <c r="G42" s="12"/>
      <c r="H42" s="12"/>
      <c r="I42" s="14"/>
      <c r="J42" s="36"/>
      <c r="L42" s="63"/>
      <c r="M42" s="66" t="s">
        <v>36</v>
      </c>
      <c r="N42" s="56">
        <v>84</v>
      </c>
      <c r="O42" s="57">
        <v>54</v>
      </c>
      <c r="P42" s="56">
        <v>4536</v>
      </c>
      <c r="Q42" s="61">
        <v>31.5</v>
      </c>
      <c r="R42" s="58">
        <v>1200</v>
      </c>
      <c r="S42" s="67">
        <v>37800</v>
      </c>
    </row>
    <row r="43" spans="3:19" ht="13.5" customHeight="1" x14ac:dyDescent="0.35">
      <c r="C43" s="32"/>
      <c r="D43" s="35" t="s">
        <v>36</v>
      </c>
      <c r="E43" s="12">
        <v>84</v>
      </c>
      <c r="F43" s="13">
        <v>72</v>
      </c>
      <c r="G43" s="12">
        <f t="shared" ref="G43:G51" si="11">E43*F43</f>
        <v>6048</v>
      </c>
      <c r="H43" s="28">
        <f t="shared" ref="H43:H51" si="12">G43/144</f>
        <v>42</v>
      </c>
      <c r="I43" s="14">
        <v>1200</v>
      </c>
      <c r="J43" s="36">
        <f t="shared" si="8"/>
        <v>50400</v>
      </c>
      <c r="L43" s="63"/>
      <c r="M43" s="66" t="s">
        <v>37</v>
      </c>
      <c r="N43" s="56">
        <v>84</v>
      </c>
      <c r="O43" s="57">
        <v>36</v>
      </c>
      <c r="P43" s="56">
        <v>3024</v>
      </c>
      <c r="Q43" s="61">
        <v>21</v>
      </c>
      <c r="R43" s="58">
        <v>1500</v>
      </c>
      <c r="S43" s="67">
        <v>31500</v>
      </c>
    </row>
    <row r="44" spans="3:19" ht="13.5" customHeight="1" x14ac:dyDescent="0.35">
      <c r="C44" s="32"/>
      <c r="D44" s="35" t="s">
        <v>54</v>
      </c>
      <c r="E44" s="12" t="s">
        <v>55</v>
      </c>
      <c r="F44" s="13"/>
      <c r="G44" s="12"/>
      <c r="H44" s="28"/>
      <c r="I44" s="14"/>
      <c r="J44" s="36">
        <v>10000</v>
      </c>
      <c r="L44" s="63"/>
      <c r="M44" s="66" t="s">
        <v>38</v>
      </c>
      <c r="N44" s="56">
        <v>24</v>
      </c>
      <c r="O44" s="57">
        <v>78</v>
      </c>
      <c r="P44" s="56">
        <v>1872</v>
      </c>
      <c r="Q44" s="61">
        <v>13</v>
      </c>
      <c r="R44" s="58">
        <v>1500</v>
      </c>
      <c r="S44" s="67">
        <v>19500</v>
      </c>
    </row>
    <row r="45" spans="3:19" ht="13.5" customHeight="1" x14ac:dyDescent="0.35">
      <c r="C45" s="32"/>
      <c r="D45" s="35" t="s">
        <v>37</v>
      </c>
      <c r="E45" s="12">
        <v>84</v>
      </c>
      <c r="F45" s="13">
        <v>36</v>
      </c>
      <c r="G45" s="12">
        <f t="shared" si="11"/>
        <v>3024</v>
      </c>
      <c r="H45" s="28">
        <f t="shared" si="12"/>
        <v>21</v>
      </c>
      <c r="I45" s="14">
        <v>1500</v>
      </c>
      <c r="J45" s="36">
        <f t="shared" si="8"/>
        <v>31500</v>
      </c>
      <c r="L45" s="63"/>
      <c r="M45" s="66" t="s">
        <v>39</v>
      </c>
      <c r="N45" s="60">
        <v>48</v>
      </c>
      <c r="O45" s="48">
        <v>78</v>
      </c>
      <c r="P45" s="56">
        <v>3744</v>
      </c>
      <c r="Q45" s="61">
        <v>26</v>
      </c>
      <c r="R45" s="56">
        <v>750</v>
      </c>
      <c r="S45" s="67">
        <v>19500</v>
      </c>
    </row>
    <row r="46" spans="3:19" ht="13.5" customHeight="1" x14ac:dyDescent="0.35">
      <c r="C46" s="32"/>
      <c r="D46" s="35" t="s">
        <v>52</v>
      </c>
      <c r="E46" s="12" t="s">
        <v>53</v>
      </c>
      <c r="F46" s="13"/>
      <c r="G46" s="12"/>
      <c r="H46" s="28"/>
      <c r="I46" s="14"/>
      <c r="J46" s="36">
        <v>5000</v>
      </c>
      <c r="L46" s="63"/>
      <c r="M46" s="66" t="s">
        <v>45</v>
      </c>
      <c r="N46" s="60">
        <v>36</v>
      </c>
      <c r="O46" s="48">
        <v>96</v>
      </c>
      <c r="P46" s="56">
        <v>3456</v>
      </c>
      <c r="Q46" s="61">
        <v>24</v>
      </c>
      <c r="R46" s="56">
        <v>650</v>
      </c>
      <c r="S46" s="67">
        <v>15600</v>
      </c>
    </row>
    <row r="47" spans="3:19" ht="13.5" customHeight="1" x14ac:dyDescent="0.35">
      <c r="C47" s="32"/>
      <c r="D47" s="35" t="s">
        <v>38</v>
      </c>
      <c r="E47" s="12">
        <v>24</v>
      </c>
      <c r="F47" s="13">
        <v>96</v>
      </c>
      <c r="G47" s="12">
        <f t="shared" si="11"/>
        <v>2304</v>
      </c>
      <c r="H47" s="28">
        <f t="shared" si="12"/>
        <v>16</v>
      </c>
      <c r="I47" s="14">
        <v>1500</v>
      </c>
      <c r="J47" s="46">
        <f t="shared" si="8"/>
        <v>24000</v>
      </c>
      <c r="L47" s="63"/>
      <c r="M47" s="66" t="s">
        <v>72</v>
      </c>
      <c r="N47" s="60">
        <v>30</v>
      </c>
      <c r="O47" s="48">
        <v>60</v>
      </c>
      <c r="P47" s="56">
        <v>1800</v>
      </c>
      <c r="Q47" s="61">
        <v>12.5</v>
      </c>
      <c r="R47" s="56">
        <v>1200</v>
      </c>
      <c r="S47" s="67">
        <v>15000</v>
      </c>
    </row>
    <row r="48" spans="3:19" ht="15.75" customHeight="1" x14ac:dyDescent="0.35">
      <c r="C48" s="32"/>
      <c r="D48" s="35" t="s">
        <v>39</v>
      </c>
      <c r="E48" s="27">
        <v>48</v>
      </c>
      <c r="F48" s="2">
        <v>60</v>
      </c>
      <c r="G48" s="12">
        <f t="shared" si="11"/>
        <v>2880</v>
      </c>
      <c r="H48" s="28">
        <f t="shared" si="12"/>
        <v>20</v>
      </c>
      <c r="I48" s="12">
        <v>750</v>
      </c>
      <c r="J48" s="36">
        <f t="shared" si="8"/>
        <v>15000</v>
      </c>
      <c r="L48" s="63"/>
      <c r="M48" s="66" t="s">
        <v>40</v>
      </c>
      <c r="N48" s="60"/>
      <c r="O48" s="48"/>
      <c r="P48" s="56"/>
      <c r="Q48" s="56">
        <v>1200</v>
      </c>
      <c r="R48" s="56">
        <v>70</v>
      </c>
      <c r="S48" s="67">
        <v>84000</v>
      </c>
    </row>
    <row r="49" spans="3:12" ht="15.75" customHeight="1" x14ac:dyDescent="0.35">
      <c r="C49" s="32"/>
      <c r="D49" s="35" t="s">
        <v>50</v>
      </c>
      <c r="E49" s="27">
        <v>96</v>
      </c>
      <c r="F49" s="2">
        <v>24</v>
      </c>
      <c r="G49" s="12">
        <f t="shared" si="11"/>
        <v>2304</v>
      </c>
      <c r="H49" s="28">
        <f t="shared" si="12"/>
        <v>16</v>
      </c>
      <c r="I49" s="12">
        <v>1500</v>
      </c>
      <c r="J49" s="36">
        <f t="shared" si="8"/>
        <v>24000</v>
      </c>
      <c r="L49" s="29"/>
    </row>
    <row r="50" spans="3:12" ht="15.75" customHeight="1" x14ac:dyDescent="0.35">
      <c r="C50" s="32"/>
      <c r="D50" s="35" t="s">
        <v>25</v>
      </c>
      <c r="E50" s="27">
        <v>12</v>
      </c>
      <c r="F50" s="2">
        <v>66</v>
      </c>
      <c r="G50" s="12">
        <f t="shared" si="11"/>
        <v>792</v>
      </c>
      <c r="H50" s="28">
        <f t="shared" si="12"/>
        <v>5.5</v>
      </c>
      <c r="I50" s="12">
        <v>550</v>
      </c>
      <c r="J50" s="36">
        <f t="shared" si="8"/>
        <v>3025</v>
      </c>
      <c r="L50" s="29"/>
    </row>
    <row r="51" spans="3:12" ht="15.75" customHeight="1" x14ac:dyDescent="0.35">
      <c r="C51" s="32"/>
      <c r="D51" s="35" t="s">
        <v>45</v>
      </c>
      <c r="E51" s="27">
        <v>96</v>
      </c>
      <c r="F51" s="2">
        <v>96</v>
      </c>
      <c r="G51" s="12">
        <f t="shared" si="11"/>
        <v>9216</v>
      </c>
      <c r="H51" s="28">
        <f t="shared" si="12"/>
        <v>64</v>
      </c>
      <c r="I51" s="12">
        <v>750</v>
      </c>
      <c r="J51" s="46">
        <f t="shared" si="8"/>
        <v>48000</v>
      </c>
      <c r="L51" s="29"/>
    </row>
    <row r="52" spans="3:12" ht="15.75" customHeight="1" x14ac:dyDescent="0.35">
      <c r="C52" s="32"/>
      <c r="D52" s="35" t="s">
        <v>40</v>
      </c>
      <c r="E52" s="27"/>
      <c r="F52" s="2"/>
      <c r="G52" s="12"/>
      <c r="H52" s="12">
        <v>1150</v>
      </c>
      <c r="I52" s="12">
        <v>70</v>
      </c>
      <c r="J52" s="36">
        <f t="shared" si="8"/>
        <v>80500</v>
      </c>
      <c r="L52" s="29"/>
    </row>
    <row r="53" spans="3:12" ht="15.75" customHeight="1" x14ac:dyDescent="0.35">
      <c r="C53" s="40"/>
      <c r="D53" s="35" t="s">
        <v>51</v>
      </c>
      <c r="E53" s="27"/>
      <c r="F53" s="2"/>
      <c r="G53" s="12"/>
      <c r="H53" s="12"/>
      <c r="I53" s="12"/>
      <c r="J53" s="36">
        <v>15000</v>
      </c>
      <c r="L53" s="29"/>
    </row>
    <row r="54" spans="3:12" ht="15.75" customHeight="1" x14ac:dyDescent="0.35">
      <c r="C54" s="32"/>
      <c r="D54" s="35"/>
      <c r="E54" s="27"/>
      <c r="F54" s="2"/>
      <c r="G54" s="12"/>
      <c r="H54" s="12"/>
      <c r="I54" s="12"/>
      <c r="J54" s="36"/>
      <c r="L54" s="29"/>
    </row>
    <row r="55" spans="3:12" ht="21" customHeight="1" x14ac:dyDescent="0.35">
      <c r="C55" s="30" t="s">
        <v>1</v>
      </c>
      <c r="D55" s="9"/>
      <c r="E55" s="1"/>
      <c r="F55" s="2"/>
      <c r="G55" s="10"/>
      <c r="H55" s="11"/>
      <c r="I55" s="1"/>
      <c r="J55" s="39">
        <f>SUM(J6:J54)</f>
        <v>1101289.5833333333</v>
      </c>
      <c r="L55" s="29"/>
    </row>
    <row r="56" spans="3:12" ht="15.5" x14ac:dyDescent="0.35">
      <c r="C56" s="16" t="s">
        <v>11</v>
      </c>
      <c r="D56" s="17"/>
      <c r="E56" s="17"/>
      <c r="F56" s="17"/>
      <c r="G56" s="17"/>
      <c r="H56" s="17"/>
      <c r="I56" s="17"/>
      <c r="J56" s="18"/>
      <c r="L56" s="29"/>
    </row>
    <row r="57" spans="3:12" ht="15.5" x14ac:dyDescent="0.35">
      <c r="C57" s="19" t="s">
        <v>43</v>
      </c>
      <c r="J57" s="20"/>
      <c r="L57" s="29"/>
    </row>
    <row r="58" spans="3:12" ht="15.5" x14ac:dyDescent="0.35">
      <c r="C58" s="19" t="s">
        <v>12</v>
      </c>
      <c r="J58" s="20"/>
      <c r="L58" s="29"/>
    </row>
    <row r="59" spans="3:12" ht="15.5" x14ac:dyDescent="0.35">
      <c r="C59" s="19" t="s">
        <v>13</v>
      </c>
      <c r="J59" s="20"/>
      <c r="L59" s="29"/>
    </row>
    <row r="60" spans="3:12" ht="15.5" x14ac:dyDescent="0.35">
      <c r="C60" s="19" t="s">
        <v>14</v>
      </c>
      <c r="J60" s="20"/>
      <c r="L60" s="29"/>
    </row>
    <row r="61" spans="3:12" x14ac:dyDescent="0.35">
      <c r="C61" s="19" t="s">
        <v>15</v>
      </c>
      <c r="J61" s="20"/>
    </row>
    <row r="62" spans="3:12" x14ac:dyDescent="0.35">
      <c r="C62" s="21" t="s">
        <v>16</v>
      </c>
      <c r="D62" s="22"/>
      <c r="E62" s="22"/>
      <c r="F62" s="22"/>
      <c r="G62" s="22"/>
      <c r="H62" s="22"/>
      <c r="I62" s="22"/>
      <c r="J62" s="23"/>
    </row>
    <row r="63" spans="3:12" ht="20.149999999999999" customHeight="1" x14ac:dyDescent="0.35">
      <c r="C63" s="24"/>
      <c r="D63" s="25"/>
      <c r="E63" s="25"/>
      <c r="F63" s="25"/>
      <c r="G63" s="25"/>
      <c r="H63" s="25"/>
      <c r="I63" s="25"/>
      <c r="J63" s="26"/>
    </row>
    <row r="67" spans="3:3" x14ac:dyDescent="0.35">
      <c r="C67" t="s">
        <v>73</v>
      </c>
    </row>
    <row r="68" spans="3:3" x14ac:dyDescent="0.35">
      <c r="C68" t="s">
        <v>74</v>
      </c>
    </row>
    <row r="69" spans="3:3" x14ac:dyDescent="0.35">
      <c r="C69" t="s">
        <v>75</v>
      </c>
    </row>
    <row r="70" spans="3:3" x14ac:dyDescent="0.35">
      <c r="C70" t="s">
        <v>76</v>
      </c>
    </row>
    <row r="71" spans="3:3" x14ac:dyDescent="0.35">
      <c r="C71" t="s">
        <v>77</v>
      </c>
    </row>
    <row r="76" spans="3:3" ht="20.149999999999999" customHeight="1" x14ac:dyDescent="0.35"/>
    <row r="78" spans="3:3" ht="25.5" customHeight="1" x14ac:dyDescent="0.35"/>
    <row r="79" spans="3:3" ht="36.75" customHeight="1" x14ac:dyDescent="0.35"/>
  </sheetData>
  <mergeCells count="4">
    <mergeCell ref="C2:J2"/>
    <mergeCell ref="C3:D3"/>
    <mergeCell ref="L2:S2"/>
    <mergeCell ref="L3:M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Atlas Copco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gopal grandhe</cp:lastModifiedBy>
  <cp:lastPrinted>2014-11-29T13:56:00Z</cp:lastPrinted>
  <dcterms:created xsi:type="dcterms:W3CDTF">2014-03-10T15:32:28Z</dcterms:created>
  <dcterms:modified xsi:type="dcterms:W3CDTF">2025-10-29T17:51:01Z</dcterms:modified>
</cp:coreProperties>
</file>